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DrCAN\kalman_filter\"/>
    </mc:Choice>
  </mc:AlternateContent>
  <xr:revisionPtr revIDLastSave="0" documentId="13_ncr:1_{953BAE7C-F9D2-4629-B4BB-439637D1DDD1}" xr6:coauthVersionLast="47" xr6:coauthVersionMax="47" xr10:uidLastSave="{00000000-0000-0000-0000-000000000000}"/>
  <bookViews>
    <workbookView xWindow="-120" yWindow="-120" windowWidth="29040" windowHeight="16440" xr2:uid="{70D1DD0F-BD53-49D0-B022-626E4EA1B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E5" i="1" s="1"/>
  <c r="F5" i="1" s="1"/>
  <c r="E6" i="1" s="1"/>
  <c r="F6" i="1" s="1"/>
  <c r="E7" i="1" s="1"/>
  <c r="F7" i="1" s="1"/>
  <c r="E8" i="1" s="1"/>
  <c r="F8" i="1" s="1"/>
  <c r="E9" i="1" s="1"/>
  <c r="F9" i="1" s="1"/>
  <c r="E10" i="1" s="1"/>
  <c r="F10" i="1" s="1"/>
  <c r="E11" i="1" s="1"/>
  <c r="F11" i="1" s="1"/>
  <c r="E12" i="1" s="1"/>
  <c r="F12" i="1" s="1"/>
  <c r="E13" i="1" s="1"/>
  <c r="F13" i="1" s="1"/>
  <c r="E14" i="1" s="1"/>
  <c r="F14" i="1" s="1"/>
  <c r="E15" i="1" s="1"/>
  <c r="F15" i="1" s="1"/>
  <c r="E16" i="1" s="1"/>
  <c r="F16" i="1" s="1"/>
  <c r="E17" i="1" s="1"/>
  <c r="F17" i="1" s="1"/>
  <c r="E18" i="1" s="1"/>
  <c r="F18" i="1" s="1"/>
  <c r="D4" i="1"/>
  <c r="E4" i="1"/>
  <c r="F3" i="1"/>
  <c r="D3" i="1"/>
  <c r="E3" i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</calcChain>
</file>

<file path=xl/sharedStrings.xml><?xml version="1.0" encoding="utf-8"?>
<sst xmlns="http://schemas.openxmlformats.org/spreadsheetml/2006/main" count="6" uniqueCount="6">
  <si>
    <t>k</t>
    <phoneticPr fontId="1" type="noConversion"/>
  </si>
  <si>
    <t>Zk</t>
    <phoneticPr fontId="1" type="noConversion"/>
  </si>
  <si>
    <t>e(MEAk)</t>
    <phoneticPr fontId="1" type="noConversion"/>
  </si>
  <si>
    <t>hat(x)k</t>
    <phoneticPr fontId="1" type="noConversion"/>
  </si>
  <si>
    <t>Kk</t>
    <phoneticPr fontId="1" type="noConversion"/>
  </si>
  <si>
    <t>e(ESTk)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</si>
</sst>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Sheet1!$B$3:$B$18</c:f>
              <c:numCache>
                <c:formatCode>General</c:formatCode>
                <c:ptCount val="16"/>
                <c:pt idx="0">
                  <c:v>51</c:v>
                </c:pt>
                <c:pt idx="1">
                  <c:v>48</c:v>
                </c:pt>
                <c:pt idx="2">
                  <c:v>47</c:v>
                </c:pt>
                <c:pt idx="3">
                  <c:v>52</c:v>
                </c:pt>
                <c:pt idx="4">
                  <c:v>51</c:v>
                </c:pt>
                <c:pt idx="5">
                  <c:v>48</c:v>
                </c:pt>
                <c:pt idx="6">
                  <c:v>49</c:v>
                </c:pt>
                <c:pt idx="7">
                  <c:v>53</c:v>
                </c:pt>
                <c:pt idx="8">
                  <c:v>48</c:v>
                </c:pt>
                <c:pt idx="9">
                  <c:v>49</c:v>
                </c:pt>
                <c:pt idx="10">
                  <c:v>52</c:v>
                </c:pt>
                <c:pt idx="11">
                  <c:v>53</c:v>
                </c:pt>
                <c:pt idx="12">
                  <c:v>51</c:v>
                </c:pt>
                <c:pt idx="13">
                  <c:v>52</c:v>
                </c:pt>
                <c:pt idx="14">
                  <c:v>49</c:v>
                </c:pt>
                <c:pt idx="15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6-480C-94A2-A09B8D189E8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Sheet1!$D$2:$D$18</c:f>
              <c:numCache>
                <c:formatCode>General</c:formatCode>
                <c:ptCount val="17"/>
                <c:pt idx="0">
                  <c:v>40</c:v>
                </c:pt>
                <c:pt idx="1">
                  <c:v>46.875</c:v>
                </c:pt>
                <c:pt idx="2">
                  <c:v>47.307692307692307</c:v>
                </c:pt>
                <c:pt idx="3">
                  <c:v>47.222222222222221</c:v>
                </c:pt>
                <c:pt idx="4">
                  <c:v>48.260869565217391</c:v>
                </c:pt>
                <c:pt idx="5">
                  <c:v>48.75</c:v>
                </c:pt>
                <c:pt idx="6">
                  <c:v>48.636363636363633</c:v>
                </c:pt>
                <c:pt idx="7">
                  <c:v>48.684210526315788</c:v>
                </c:pt>
                <c:pt idx="8">
                  <c:v>49.186046511627907</c:v>
                </c:pt>
                <c:pt idx="9">
                  <c:v>49.0625</c:v>
                </c:pt>
                <c:pt idx="10">
                  <c:v>49.056603773584904</c:v>
                </c:pt>
                <c:pt idx="11">
                  <c:v>49.310344827586206</c:v>
                </c:pt>
                <c:pt idx="12">
                  <c:v>49.603174603174601</c:v>
                </c:pt>
                <c:pt idx="13">
                  <c:v>49.705882352941174</c:v>
                </c:pt>
                <c:pt idx="14">
                  <c:v>49.863013698630134</c:v>
                </c:pt>
                <c:pt idx="15">
                  <c:v>49.807692307692307</c:v>
                </c:pt>
                <c:pt idx="16">
                  <c:v>49.819277108433731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96-480C-94A2-A09B8D18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30015"/>
        <c:axId val="1041662415"/>
      </c:scatterChart>
      <c:valAx>
        <c:axId val="126463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1662415"/>
        <c:crosses val="autoZero"/>
        <c:crossBetween val="midCat"/>
      </c:valAx>
      <c:valAx>
        <c:axId val="1041662415"/>
        <c:scaling>
          <c:orientation val="minMax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6463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Sheet1!$F$2:$F$18</c:f>
              <c:numCache>
                <c:formatCode>General</c:formatCode>
                <c:ptCount val="17"/>
                <c:pt idx="0">
                  <c:v>5</c:v>
                </c:pt>
                <c:pt idx="1">
                  <c:v>1.875</c:v>
                </c:pt>
                <c:pt idx="2">
                  <c:v>1.153846153846154</c:v>
                </c:pt>
                <c:pt idx="3">
                  <c:v>0.83333333333333337</c:v>
                </c:pt>
                <c:pt idx="4">
                  <c:v>0.65217391304347827</c:v>
                </c:pt>
                <c:pt idx="5">
                  <c:v>0.5357142857142857</c:v>
                </c:pt>
                <c:pt idx="6">
                  <c:v>0.45454545454545453</c:v>
                </c:pt>
                <c:pt idx="7">
                  <c:v>0.39473684210526316</c:v>
                </c:pt>
                <c:pt idx="8">
                  <c:v>0.34883720930232559</c:v>
                </c:pt>
                <c:pt idx="9">
                  <c:v>0.3125</c:v>
                </c:pt>
                <c:pt idx="10">
                  <c:v>0.28301886792452829</c:v>
                </c:pt>
                <c:pt idx="11">
                  <c:v>0.25862068965517243</c:v>
                </c:pt>
                <c:pt idx="12">
                  <c:v>0.23809523809523814</c:v>
                </c:pt>
                <c:pt idx="13">
                  <c:v>0.2205882352941177</c:v>
                </c:pt>
                <c:pt idx="14">
                  <c:v>0.20547945205479456</c:v>
                </c:pt>
                <c:pt idx="15">
                  <c:v>0.19230769230769235</c:v>
                </c:pt>
                <c:pt idx="16">
                  <c:v>0.18072289156626511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DD-4E19-A4CC-9E2C26E22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622079"/>
        <c:axId val="1329617503"/>
      </c:scatterChart>
      <c:valAx>
        <c:axId val="132962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9617503"/>
        <c:crosses val="autoZero"/>
        <c:crossBetween val="midCat"/>
      </c:valAx>
      <c:valAx>
        <c:axId val="132961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9622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399317</xdr:colOff>
      <xdr:row>8</xdr:row>
      <xdr:rowOff>71803</xdr:rowOff>
    </xdr:from>
    <xdr:to>
      <xdr:col>13</xdr:col>
      <xdr:colOff>150202</xdr:colOff>
      <xdr:row>23</xdr:row>
      <xdr:rowOff>67407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39EE7C1-9DE7-4D28-8100-34D4001A5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380999</xdr:colOff>
      <xdr:row>23</xdr:row>
      <xdr:rowOff>42495</xdr:rowOff>
    </xdr:from>
    <xdr:to>
      <xdr:col>13</xdr:col>
      <xdr:colOff>131884</xdr:colOff>
      <xdr:row>38</xdr:row>
      <xdr:rowOff>38099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456D654-9FD4-4CED-B57F-862F2D095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46CD-84CC-422F-A187-FB30282C1DD9}">
  <dimension ref="A1:F18"/>
  <sheetViews>
    <sheetView tabSelected="1" zoomScale="130" zoomScaleNormal="130" workbookViewId="0">
      <selection activeCell="F2" sqref="F2:F18"/>
    </sheetView>
  </sheetViews>
  <sheetFormatPr defaultRowHeight="14.25" x14ac:dyDescent="0.2"/>
  <cols>
    <col min="1" max="6" width="9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0</v>
      </c>
      <c r="D2" s="1">
        <v>40</v>
      </c>
      <c r="F2" s="1">
        <v>5</v>
      </c>
    </row>
    <row r="3" spans="1:6" x14ac:dyDescent="0.2">
      <c r="A3" s="1">
        <v>1</v>
      </c>
      <c r="B3" s="1">
        <v>51</v>
      </c>
      <c r="C3" s="1">
        <v>3</v>
      </c>
      <c r="D3" s="1">
        <f>D2+E3*(B3-D2)</f>
        <v>46.875</v>
      </c>
      <c r="E3" s="1">
        <f>F2/(F2+C3)</f>
        <v>0.625</v>
      </c>
      <c r="F3" s="1">
        <f>(1-E3)*F2</f>
        <v>1.875</v>
      </c>
    </row>
    <row r="4" spans="1:6" x14ac:dyDescent="0.2">
      <c r="A4" s="1">
        <v>2</v>
      </c>
      <c r="B4" s="1">
        <v>48</v>
      </c>
      <c r="C4" s="1">
        <v>3</v>
      </c>
      <c r="D4" s="1">
        <f t="shared" ref="D4:D18" si="0">D3+E4*(B4-D3)</f>
        <v>47.307692307692307</v>
      </c>
      <c r="E4" s="1">
        <f t="shared" ref="E4:E18" si="1">F3/(F3+C4)</f>
        <v>0.38461538461538464</v>
      </c>
      <c r="F4" s="1">
        <f t="shared" ref="F4:F18" si="2">(1-E4)*F3</f>
        <v>1.153846153846154</v>
      </c>
    </row>
    <row r="5" spans="1:6" x14ac:dyDescent="0.2">
      <c r="A5" s="1">
        <v>3</v>
      </c>
      <c r="B5" s="1">
        <v>47</v>
      </c>
      <c r="C5" s="1">
        <v>3</v>
      </c>
      <c r="D5" s="1">
        <f t="shared" si="0"/>
        <v>47.222222222222221</v>
      </c>
      <c r="E5" s="1">
        <f t="shared" si="1"/>
        <v>0.27777777777777779</v>
      </c>
      <c r="F5" s="1">
        <f t="shared" si="2"/>
        <v>0.83333333333333337</v>
      </c>
    </row>
    <row r="6" spans="1:6" x14ac:dyDescent="0.2">
      <c r="A6" s="1">
        <v>4</v>
      </c>
      <c r="B6" s="1">
        <v>52</v>
      </c>
      <c r="C6" s="1">
        <v>3</v>
      </c>
      <c r="D6" s="1">
        <f t="shared" si="0"/>
        <v>48.260869565217391</v>
      </c>
      <c r="E6" s="1">
        <f t="shared" si="1"/>
        <v>0.21739130434782608</v>
      </c>
      <c r="F6" s="1">
        <f t="shared" si="2"/>
        <v>0.65217391304347827</v>
      </c>
    </row>
    <row r="7" spans="1:6" x14ac:dyDescent="0.2">
      <c r="A7" s="1">
        <v>5</v>
      </c>
      <c r="B7" s="1">
        <v>51</v>
      </c>
      <c r="C7" s="1">
        <v>3</v>
      </c>
      <c r="D7" s="1">
        <f t="shared" si="0"/>
        <v>48.75</v>
      </c>
      <c r="E7" s="1">
        <f t="shared" si="1"/>
        <v>0.17857142857142858</v>
      </c>
      <c r="F7" s="1">
        <f t="shared" si="2"/>
        <v>0.5357142857142857</v>
      </c>
    </row>
    <row r="8" spans="1:6" x14ac:dyDescent="0.2">
      <c r="A8" s="1">
        <v>6</v>
      </c>
      <c r="B8" s="1">
        <v>48</v>
      </c>
      <c r="C8" s="1">
        <v>3</v>
      </c>
      <c r="D8" s="1">
        <f t="shared" si="0"/>
        <v>48.636363636363633</v>
      </c>
      <c r="E8" s="1">
        <f t="shared" si="1"/>
        <v>0.15151515151515152</v>
      </c>
      <c r="F8" s="1">
        <f t="shared" si="2"/>
        <v>0.45454545454545453</v>
      </c>
    </row>
    <row r="9" spans="1:6" x14ac:dyDescent="0.2">
      <c r="A9" s="1">
        <v>7</v>
      </c>
      <c r="B9" s="1">
        <v>49</v>
      </c>
      <c r="C9" s="1">
        <v>3</v>
      </c>
      <c r="D9" s="1">
        <f t="shared" si="0"/>
        <v>48.684210526315788</v>
      </c>
      <c r="E9" s="1">
        <f t="shared" si="1"/>
        <v>0.13157894736842105</v>
      </c>
      <c r="F9" s="1">
        <f t="shared" si="2"/>
        <v>0.39473684210526316</v>
      </c>
    </row>
    <row r="10" spans="1:6" x14ac:dyDescent="0.2">
      <c r="A10" s="1">
        <v>8</v>
      </c>
      <c r="B10" s="1">
        <v>53</v>
      </c>
      <c r="C10" s="1">
        <v>3</v>
      </c>
      <c r="D10" s="1">
        <f t="shared" si="0"/>
        <v>49.186046511627907</v>
      </c>
      <c r="E10" s="1">
        <f t="shared" si="1"/>
        <v>0.11627906976744186</v>
      </c>
      <c r="F10" s="1">
        <f t="shared" si="2"/>
        <v>0.34883720930232559</v>
      </c>
    </row>
    <row r="11" spans="1:6" x14ac:dyDescent="0.2">
      <c r="A11" s="1">
        <v>9</v>
      </c>
      <c r="B11" s="1">
        <v>48</v>
      </c>
      <c r="C11" s="1">
        <v>3</v>
      </c>
      <c r="D11" s="1">
        <f t="shared" si="0"/>
        <v>49.0625</v>
      </c>
      <c r="E11" s="1">
        <f t="shared" si="1"/>
        <v>0.10416666666666666</v>
      </c>
      <c r="F11" s="1">
        <f t="shared" si="2"/>
        <v>0.3125</v>
      </c>
    </row>
    <row r="12" spans="1:6" x14ac:dyDescent="0.2">
      <c r="A12" s="1">
        <v>10</v>
      </c>
      <c r="B12" s="1">
        <v>49</v>
      </c>
      <c r="C12" s="1">
        <v>3</v>
      </c>
      <c r="D12" s="1">
        <f t="shared" si="0"/>
        <v>49.056603773584904</v>
      </c>
      <c r="E12" s="1">
        <f t="shared" si="1"/>
        <v>9.4339622641509441E-2</v>
      </c>
      <c r="F12" s="1">
        <f t="shared" si="2"/>
        <v>0.28301886792452829</v>
      </c>
    </row>
    <row r="13" spans="1:6" x14ac:dyDescent="0.2">
      <c r="A13" s="1">
        <v>11</v>
      </c>
      <c r="B13" s="1">
        <v>52</v>
      </c>
      <c r="C13" s="1">
        <v>3</v>
      </c>
      <c r="D13" s="1">
        <f t="shared" si="0"/>
        <v>49.310344827586206</v>
      </c>
      <c r="E13" s="1">
        <f t="shared" si="1"/>
        <v>8.620689655172413E-2</v>
      </c>
      <c r="F13" s="1">
        <f t="shared" si="2"/>
        <v>0.25862068965517243</v>
      </c>
    </row>
    <row r="14" spans="1:6" x14ac:dyDescent="0.2">
      <c r="A14" s="1">
        <v>12</v>
      </c>
      <c r="B14" s="1">
        <v>53</v>
      </c>
      <c r="C14" s="1">
        <v>3</v>
      </c>
      <c r="D14" s="1">
        <f t="shared" si="0"/>
        <v>49.603174603174601</v>
      </c>
      <c r="E14" s="1">
        <f t="shared" si="1"/>
        <v>7.9365079365079361E-2</v>
      </c>
      <c r="F14" s="1">
        <f t="shared" si="2"/>
        <v>0.23809523809523814</v>
      </c>
    </row>
    <row r="15" spans="1:6" x14ac:dyDescent="0.2">
      <c r="A15" s="1">
        <v>13</v>
      </c>
      <c r="B15" s="1">
        <v>51</v>
      </c>
      <c r="C15" s="1">
        <v>3</v>
      </c>
      <c r="D15" s="1">
        <f t="shared" si="0"/>
        <v>49.705882352941174</v>
      </c>
      <c r="E15" s="1">
        <f t="shared" si="1"/>
        <v>7.3529411764705899E-2</v>
      </c>
      <c r="F15" s="1">
        <f t="shared" si="2"/>
        <v>0.2205882352941177</v>
      </c>
    </row>
    <row r="16" spans="1:6" x14ac:dyDescent="0.2">
      <c r="A16" s="1">
        <v>14</v>
      </c>
      <c r="B16" s="1">
        <v>52</v>
      </c>
      <c r="C16" s="1">
        <v>3</v>
      </c>
      <c r="D16" s="1">
        <f t="shared" si="0"/>
        <v>49.863013698630134</v>
      </c>
      <c r="E16" s="1">
        <f t="shared" si="1"/>
        <v>6.8493150684931517E-2</v>
      </c>
      <c r="F16" s="1">
        <f t="shared" si="2"/>
        <v>0.20547945205479456</v>
      </c>
    </row>
    <row r="17" spans="1:6" x14ac:dyDescent="0.2">
      <c r="A17" s="1">
        <v>15</v>
      </c>
      <c r="B17" s="1">
        <v>49</v>
      </c>
      <c r="C17" s="1">
        <v>3</v>
      </c>
      <c r="D17" s="1">
        <f t="shared" si="0"/>
        <v>49.807692307692307</v>
      </c>
      <c r="E17" s="1">
        <f t="shared" si="1"/>
        <v>6.4102564102564111E-2</v>
      </c>
      <c r="F17" s="1">
        <f t="shared" si="2"/>
        <v>0.19230769230769235</v>
      </c>
    </row>
    <row r="18" spans="1:6" x14ac:dyDescent="0.2">
      <c r="A18" s="1">
        <v>16</v>
      </c>
      <c r="B18" s="1">
        <v>50</v>
      </c>
      <c r="C18" s="1">
        <v>3</v>
      </c>
      <c r="D18" s="1">
        <f t="shared" si="0"/>
        <v>49.819277108433731</v>
      </c>
      <c r="E18" s="1">
        <f t="shared" si="1"/>
        <v>6.0240963855421693E-2</v>
      </c>
      <c r="F18" s="1">
        <f t="shared" si="2"/>
        <v>0.18072289156626511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轩 柴</dc:creator>
  <cp:lastModifiedBy>轩 柴</cp:lastModifiedBy>
  <dcterms:created xsi:type="dcterms:W3CDTF">2026-04-02T06:21:48Z</dcterms:created>
  <dcterms:modified xsi:type="dcterms:W3CDTF">2026-04-02T06:36:27Z</dcterms:modified>
</cp:coreProperties>
</file>